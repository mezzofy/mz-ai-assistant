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Sales" sheetId="1" state="visible" r:id="rId3"/>
    <sheet name="Pipeline Tracker" sheetId="2" state="visible" r:id="rId4"/>
    <sheet name="Financial Summary" sheetId="3" state="visible" r:id="rId5"/>
    <sheet name="Legen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<sst xmlns="http://schemas.openxmlformats.org/spreadsheetml/2006/main" count="118" uniqueCount="104">
  <si>
    <t xml:space="preserve">Month</t>
  </si>
  <si>
    <t xml:space="preserve">Sales Rep</t>
  </si>
  <si>
    <t xml:space="preserve">Region</t>
  </si>
  <si>
    <t xml:space="preserve">Product</t>
  </si>
  <si>
    <t xml:space="preserve">Revenue ($)</t>
  </si>
  <si>
    <t xml:space="preserve">Target ($)</t>
  </si>
  <si>
    <t xml:space="preserve">Attainment (%)</t>
  </si>
  <si>
    <t xml:space="preserve">January</t>
  </si>
  <si>
    <t xml:space="preserve">Alice Tan</t>
  </si>
  <si>
    <t xml:space="preserve">APAC</t>
  </si>
  <si>
    <t xml:space="preserve">Pro Plan</t>
  </si>
  <si>
    <t xml:space="preserve">February</t>
  </si>
  <si>
    <t xml:space="preserve">Bob Lim</t>
  </si>
  <si>
    <t xml:space="preserve">Enterprise</t>
  </si>
  <si>
    <t xml:space="preserve">March</t>
  </si>
  <si>
    <t xml:space="preserve">Carol Wu</t>
  </si>
  <si>
    <t xml:space="preserve">EMEA</t>
  </si>
  <si>
    <t xml:space="preserve">April</t>
  </si>
  <si>
    <t xml:space="preserve">Dave Ng</t>
  </si>
  <si>
    <t xml:space="preserve">May</t>
  </si>
  <si>
    <t xml:space="preserve">Eve Park</t>
  </si>
  <si>
    <t xml:space="preserve">Americas</t>
  </si>
  <si>
    <t xml:space="preserve">June</t>
  </si>
  <si>
    <t xml:space="preserve">Frank Ho</t>
  </si>
  <si>
    <t xml:space="preserve">TOTAL / AVG</t>
  </si>
  <si>
    <t xml:space="preserve">Lead ID</t>
  </si>
  <si>
    <t xml:space="preserve">Company</t>
  </si>
  <si>
    <t xml:space="preserve">PIC</t>
  </si>
  <si>
    <t xml:space="preserve">Stage</t>
  </si>
  <si>
    <t xml:space="preserve">Deal Value ($)</t>
  </si>
  <si>
    <t xml:space="preserve">Probability (%)</t>
  </si>
  <si>
    <t xml:space="preserve">Weighted Value ($)</t>
  </si>
  <si>
    <t xml:space="preserve">Close Date</t>
  </si>
  <si>
    <t xml:space="preserve">Notes</t>
  </si>
  <si>
    <t xml:space="preserve">LD-001</t>
  </si>
  <si>
    <t xml:space="preserve">Acme Corp</t>
  </si>
  <si>
    <t xml:space="preserve">Proposal</t>
  </si>
  <si>
    <t xml:space="preserve">30 Apr 2026</t>
  </si>
  <si>
    <t xml:space="preserve">RFP submitted</t>
  </si>
  <si>
    <t xml:space="preserve">LD-002</t>
  </si>
  <si>
    <t xml:space="preserve">Beta Systems</t>
  </si>
  <si>
    <t xml:space="preserve">Qualified</t>
  </si>
  <si>
    <t xml:space="preserve">15 May 2026</t>
  </si>
  <si>
    <t xml:space="preserve">Demo scheduled</t>
  </si>
  <si>
    <t xml:space="preserve">LD-003</t>
  </si>
  <si>
    <t xml:space="preserve">Gamma Holdings</t>
  </si>
  <si>
    <t xml:space="preserve">Contacted</t>
  </si>
  <si>
    <t xml:space="preserve">30 Jun 2026</t>
  </si>
  <si>
    <t xml:space="preserve">Follow-up pending</t>
  </si>
  <si>
    <t xml:space="preserve">LD-004</t>
  </si>
  <si>
    <t xml:space="preserve">Delta Retail</t>
  </si>
  <si>
    <t xml:space="preserve">20 Apr 2026</t>
  </si>
  <si>
    <t xml:space="preserve">Legal review</t>
  </si>
  <si>
    <t xml:space="preserve">LD-005</t>
  </si>
  <si>
    <t xml:space="preserve">Epsilon Media</t>
  </si>
  <si>
    <t xml:space="preserve">Closed Won</t>
  </si>
  <si>
    <t xml:space="preserve">01 Mar 2026</t>
  </si>
  <si>
    <t xml:space="preserve">Contract signed</t>
  </si>
  <si>
    <t xml:space="preserve">LD-006</t>
  </si>
  <si>
    <t xml:space="preserve">Zeta Finance</t>
  </si>
  <si>
    <t xml:space="preserve">Disqualified</t>
  </si>
  <si>
    <t xml:space="preserve">—</t>
  </si>
  <si>
    <t xml:space="preserve">Budget frozen</t>
  </si>
  <si>
    <t xml:space="preserve">PIPELINE TOTAL</t>
  </si>
  <si>
    <t xml:space="preserve">Category</t>
  </si>
  <si>
    <t xml:space="preserve">Q1 ($)</t>
  </si>
  <si>
    <t xml:space="preserve">Q2 ($)</t>
  </si>
  <si>
    <t xml:space="preserve">Q3 ($)</t>
  </si>
  <si>
    <t xml:space="preserve">Q4 ($)</t>
  </si>
  <si>
    <t xml:space="preserve">FY Total ($)</t>
  </si>
  <si>
    <t xml:space="preserve">YoY Growth (%)</t>
  </si>
  <si>
    <t xml:space="preserve">Prior Year FY ($)</t>
  </si>
  <si>
    <t xml:space="preserve">Revenue</t>
  </si>
  <si>
    <t xml:space="preserve">Cost of Sales</t>
  </si>
  <si>
    <t xml:space="preserve">Gross Profit</t>
  </si>
  <si>
    <t xml:space="preserve">OpEx</t>
  </si>
  <si>
    <t xml:space="preserve">EBITDA</t>
  </si>
  <si>
    <t xml:space="preserve">Element</t>
  </si>
  <si>
    <t xml:space="preserve">Style</t>
  </si>
  <si>
    <t xml:space="preserve">Meaning</t>
  </si>
  <si>
    <t xml:space="preserve">Header row</t>
  </si>
  <si>
    <t xml:space="preserve">Orange bg (#F97316), white bold text</t>
  </si>
  <si>
    <t xml:space="preserve">Column labels — do not edit</t>
  </si>
  <si>
    <t xml:space="preserve">Data row (odd)</t>
  </si>
  <si>
    <t xml:space="preserve">White background</t>
  </si>
  <si>
    <t xml:space="preserve">Standard data entry rows</t>
  </si>
  <si>
    <t xml:space="preserve">Data row (even)</t>
  </si>
  <si>
    <t xml:space="preserve">Light orange bg (#FEF3EA)</t>
  </si>
  <si>
    <t xml:space="preserve">Alternating row highlight</t>
  </si>
  <si>
    <t xml:space="preserve">Total / Summary</t>
  </si>
  <si>
    <t xml:space="preserve">Black bg, white bold text</t>
  </si>
  <si>
    <t xml:space="preserve">Aggregated results — formula-driven</t>
  </si>
  <si>
    <t xml:space="preserve">Blue text</t>
  </si>
  <si>
    <t xml:space="preserve">RGB 0,0,255</t>
  </si>
  <si>
    <t xml:space="preserve">Hardcoded inputs — user edits these</t>
  </si>
  <si>
    <t xml:space="preserve">Black text</t>
  </si>
  <si>
    <t xml:space="preserve">RGB 0,0,0</t>
  </si>
  <si>
    <t xml:space="preserve">Calculated formulas — do not overwrite</t>
  </si>
  <si>
    <t xml:space="preserve">Green text</t>
  </si>
  <si>
    <t xml:space="preserve">RGB 0,128,0</t>
  </si>
  <si>
    <t xml:space="preserve">Cross-sheet links</t>
  </si>
  <si>
    <t xml:space="preserve">Red text</t>
  </si>
  <si>
    <t xml:space="preserve">RGB 255,0,0</t>
  </si>
  <si>
    <t xml:space="preserve">External file links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</si>
</sst>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97316"/>
        <bgColor rgb="FFFF9900"/>
      </patternFill>
    </fill>
    <fill>
      <patternFill patternType="solid">
        <fgColor rgb="FFFEF3EA"/>
        <bgColor rgb="FFFFFFFF"/>
      </patternFill>
    </fill>
    <fill>
      <patternFill patternType="solid">
        <fgColor rgb="FFFFFFFF"/>
        <bgColor rgb="FFFEF3EA"/>
      </patternFill>
    </fill>
    <fill>
      <patternFill patternType="solid">
        <fgColor rgb="FF000000"/>
        <bgColor rgb="FF00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97316"/>
      </left>
      <right style="thin">
        <color rgb="FFF97316"/>
      </right>
      <top style="thin">
        <color rgb="FFF97316"/>
      </top>
      <bottom style="thin">
        <color rgb="FFF97316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EA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97316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n">
        <v>48500</v>
      </c>
      <c r="F2" s="3" t="n">
        <v>50000</v>
      </c>
      <c r="G2" s="4" t="n">
        <f aca="false">E2/F2</f>
        <v>0.97</v>
      </c>
    </row>
    <row r="3" customFormat="false" ht="15" hidden="false" customHeight="false" outlineLevel="0" collapsed="false">
      <c r="A3" s="5" t="s">
        <v>11</v>
      </c>
      <c r="B3" s="5" t="s">
        <v>12</v>
      </c>
      <c r="C3" s="5" t="s">
        <v>9</v>
      </c>
      <c r="D3" s="5" t="s">
        <v>13</v>
      </c>
      <c r="E3" s="6" t="n">
        <v>83200</v>
      </c>
      <c r="F3" s="6" t="n">
        <v>80000</v>
      </c>
      <c r="G3" s="7" t="n">
        <f aca="false">E3/F3</f>
        <v>1.04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s">
        <v>16</v>
      </c>
      <c r="D4" s="2" t="s">
        <v>10</v>
      </c>
      <c r="E4" s="3" t="n">
        <v>42100</v>
      </c>
      <c r="F4" s="3" t="n">
        <v>45000</v>
      </c>
      <c r="G4" s="4" t="n">
        <f aca="false">E4/F4</f>
        <v>0.935555555555556</v>
      </c>
    </row>
    <row r="5" customFormat="false" ht="15" hidden="false" customHeight="false" outlineLevel="0" collapsed="false">
      <c r="A5" s="5" t="s">
        <v>17</v>
      </c>
      <c r="B5" s="5" t="s">
        <v>18</v>
      </c>
      <c r="C5" s="5" t="s">
        <v>16</v>
      </c>
      <c r="D5" s="5" t="s">
        <v>13</v>
      </c>
      <c r="E5" s="6" t="n">
        <v>95400</v>
      </c>
      <c r="F5" s="6" t="n">
        <v>90000</v>
      </c>
      <c r="G5" s="7" t="n">
        <f aca="false">E5/F5</f>
        <v>1.06</v>
      </c>
    </row>
    <row r="6" customFormat="false" ht="15" hidden="false" customHeight="false" outlineLevel="0" collapsed="false">
      <c r="A6" s="2" t="s">
        <v>19</v>
      </c>
      <c r="B6" s="2" t="s">
        <v>20</v>
      </c>
      <c r="C6" s="2" t="s">
        <v>21</v>
      </c>
      <c r="D6" s="2" t="s">
        <v>10</v>
      </c>
      <c r="E6" s="3" t="n">
        <v>61800</v>
      </c>
      <c r="F6" s="3" t="n">
        <v>60000</v>
      </c>
      <c r="G6" s="4" t="n">
        <f aca="false">E6/F6</f>
        <v>1.03</v>
      </c>
    </row>
    <row r="7" customFormat="false" ht="15" hidden="false" customHeight="false" outlineLevel="0" collapsed="false">
      <c r="A7" s="5" t="s">
        <v>22</v>
      </c>
      <c r="B7" s="5" t="s">
        <v>23</v>
      </c>
      <c r="C7" s="5" t="s">
        <v>21</v>
      </c>
      <c r="D7" s="5" t="s">
        <v>13</v>
      </c>
      <c r="E7" s="6" t="n">
        <v>70250</v>
      </c>
      <c r="F7" s="6" t="n">
        <v>75000</v>
      </c>
      <c r="G7" s="7" t="n">
        <f aca="false">E7/F7</f>
        <v>0.936666666666667</v>
      </c>
    </row>
    <row r="8" customFormat="false" ht="15" hidden="false" customHeight="false" outlineLevel="0" collapsed="false">
      <c r="A8" s="8" t="s">
        <v>24</v>
      </c>
      <c r="B8" s="8"/>
      <c r="C8" s="8"/>
      <c r="D8" s="8"/>
      <c r="E8" s="9" t="n">
        <f aca="false">SUM(E2:E7)</f>
        <v>401250</v>
      </c>
      <c r="F8" s="9" t="n">
        <f aca="false">SUM(F2:F7)</f>
        <v>400000</v>
      </c>
      <c r="G8" s="10" t="n">
        <f aca="false">E8/F8</f>
        <v>1.003125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customFormat="false" ht="15" hidden="false" customHeight="false" outlineLevel="0" collapsed="false">
      <c r="A2" s="2" t="s">
        <v>34</v>
      </c>
      <c r="B2" s="2" t="s">
        <v>35</v>
      </c>
      <c r="C2" s="2" t="s">
        <v>8</v>
      </c>
      <c r="D2" s="2" t="s">
        <v>36</v>
      </c>
      <c r="E2" s="3" t="n">
        <v>120000</v>
      </c>
      <c r="F2" s="11" t="n">
        <v>0.6</v>
      </c>
      <c r="G2" s="12" t="n">
        <f aca="false">E2*F2</f>
        <v>72000</v>
      </c>
      <c r="H2" s="2" t="s">
        <v>37</v>
      </c>
      <c r="I2" s="2" t="s">
        <v>38</v>
      </c>
    </row>
    <row r="3" customFormat="false" ht="15" hidden="false" customHeight="false" outlineLevel="0" collapsed="false">
      <c r="A3" s="5" t="s">
        <v>39</v>
      </c>
      <c r="B3" s="5" t="s">
        <v>40</v>
      </c>
      <c r="C3" s="5" t="s">
        <v>12</v>
      </c>
      <c r="D3" s="5" t="s">
        <v>41</v>
      </c>
      <c r="E3" s="6" t="n">
        <v>85000</v>
      </c>
      <c r="F3" s="13" t="n">
        <v>0.4</v>
      </c>
      <c r="G3" s="14" t="n">
        <f aca="false">E3*F3</f>
        <v>34000</v>
      </c>
      <c r="H3" s="5" t="s">
        <v>42</v>
      </c>
      <c r="I3" s="5" t="s">
        <v>43</v>
      </c>
    </row>
    <row r="4" customFormat="false" ht="15" hidden="false" customHeight="false" outlineLevel="0" collapsed="false">
      <c r="A4" s="2" t="s">
        <v>44</v>
      </c>
      <c r="B4" s="2" t="s">
        <v>45</v>
      </c>
      <c r="C4" s="2" t="s">
        <v>15</v>
      </c>
      <c r="D4" s="2" t="s">
        <v>46</v>
      </c>
      <c r="E4" s="3" t="n">
        <v>45000</v>
      </c>
      <c r="F4" s="11" t="n">
        <v>0.2</v>
      </c>
      <c r="G4" s="12" t="n">
        <f aca="false">E4*F4</f>
        <v>9000</v>
      </c>
      <c r="H4" s="2" t="s">
        <v>47</v>
      </c>
      <c r="I4" s="2" t="s">
        <v>48</v>
      </c>
    </row>
    <row r="5" customFormat="false" ht="15" hidden="false" customHeight="false" outlineLevel="0" collapsed="false">
      <c r="A5" s="5" t="s">
        <v>49</v>
      </c>
      <c r="B5" s="5" t="s">
        <v>50</v>
      </c>
      <c r="C5" s="5" t="s">
        <v>18</v>
      </c>
      <c r="D5" s="5" t="s">
        <v>36</v>
      </c>
      <c r="E5" s="6" t="n">
        <v>200000</v>
      </c>
      <c r="F5" s="13" t="n">
        <v>0.75</v>
      </c>
      <c r="G5" s="14" t="n">
        <f aca="false">E5*F5</f>
        <v>150000</v>
      </c>
      <c r="H5" s="5" t="s">
        <v>51</v>
      </c>
      <c r="I5" s="5" t="s">
        <v>52</v>
      </c>
    </row>
    <row r="6" customFormat="false" ht="15" hidden="false" customHeight="false" outlineLevel="0" collapsed="false">
      <c r="A6" s="2" t="s">
        <v>53</v>
      </c>
      <c r="B6" s="2" t="s">
        <v>54</v>
      </c>
      <c r="C6" s="2" t="s">
        <v>20</v>
      </c>
      <c r="D6" s="2" t="s">
        <v>55</v>
      </c>
      <c r="E6" s="3" t="n">
        <v>95000</v>
      </c>
      <c r="F6" s="11" t="n">
        <v>1</v>
      </c>
      <c r="G6" s="12" t="n">
        <f aca="false">E6*F6</f>
        <v>95000</v>
      </c>
      <c r="H6" s="2" t="s">
        <v>56</v>
      </c>
      <c r="I6" s="2" t="s">
        <v>57</v>
      </c>
    </row>
    <row r="7" customFormat="false" ht="15" hidden="false" customHeight="false" outlineLevel="0" collapsed="false">
      <c r="A7" s="5" t="s">
        <v>58</v>
      </c>
      <c r="B7" s="5" t="s">
        <v>59</v>
      </c>
      <c r="C7" s="5" t="s">
        <v>23</v>
      </c>
      <c r="D7" s="5" t="s">
        <v>60</v>
      </c>
      <c r="E7" s="6" t="n">
        <v>0</v>
      </c>
      <c r="F7" s="13" t="n">
        <v>0</v>
      </c>
      <c r="G7" s="14" t="n">
        <f aca="false">E7*F7</f>
        <v>0</v>
      </c>
      <c r="H7" s="5" t="s">
        <v>61</v>
      </c>
      <c r="I7" s="5" t="s">
        <v>62</v>
      </c>
    </row>
    <row r="8" customFormat="false" ht="15" hidden="false" customHeight="false" outlineLevel="0" collapsed="false">
      <c r="A8" s="8" t="s">
        <v>63</v>
      </c>
      <c r="B8" s="8"/>
      <c r="C8" s="8"/>
      <c r="D8" s="8"/>
      <c r="E8" s="9" t="n">
        <f aca="false">SUM(E2:E7)</f>
        <v>545000</v>
      </c>
      <c r="F8" s="8"/>
      <c r="G8" s="9" t="n">
        <f aca="false">SUM(G2:G7)</f>
        <v>360000</v>
      </c>
      <c r="H8" s="8"/>
      <c r="I8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4"/>
    <col collapsed="false" customWidth="true" hidden="false" outlineLevel="0" max="7" min="6" style="0" width="16"/>
    <col collapsed="false" customWidth="true" hidden="true" outlineLevel="0" max="8" min="8" style="0" width="16"/>
  </cols>
  <sheetData>
    <row r="1" customFormat="false" ht="15" hidden="false" customHeight="false" outlineLevel="0" collapsed="false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customFormat="false" ht="15" hidden="false" customHeight="false" outlineLevel="0" collapsed="false">
      <c r="A2" s="15" t="s">
        <v>72</v>
      </c>
      <c r="B2" s="12" t="n">
        <v>480000</v>
      </c>
      <c r="C2" s="12" t="n">
        <v>520000</v>
      </c>
      <c r="D2" s="12" t="n">
        <v>610000</v>
      </c>
      <c r="E2" s="12" t="n">
        <v>690000</v>
      </c>
      <c r="F2" s="12" t="n">
        <f aca="false">SUM(B2:E2)</f>
        <v>2300000</v>
      </c>
      <c r="G2" s="4" t="n">
        <f aca="false">IF(H2=0,"-",F2/H2-1)</f>
        <v>0.0952380952380953</v>
      </c>
      <c r="H2" s="12" t="n">
        <v>2100000</v>
      </c>
    </row>
    <row r="3" customFormat="false" ht="15" hidden="false" customHeight="false" outlineLevel="0" collapsed="false">
      <c r="A3" s="16" t="s">
        <v>73</v>
      </c>
      <c r="B3" s="14" t="n">
        <v>144000</v>
      </c>
      <c r="C3" s="14" t="n">
        <v>156000</v>
      </c>
      <c r="D3" s="14" t="n">
        <v>183000</v>
      </c>
      <c r="E3" s="14" t="n">
        <v>207000</v>
      </c>
      <c r="F3" s="14" t="n">
        <f aca="false">SUM(B3:E3)</f>
        <v>690000</v>
      </c>
      <c r="G3" s="7" t="n">
        <f aca="false">IF(H3=0,"-",F3/H3-1)</f>
        <v>0.0952380952380953</v>
      </c>
      <c r="H3" s="14" t="n">
        <v>630000</v>
      </c>
    </row>
    <row r="4" customFormat="false" ht="15" hidden="false" customHeight="false" outlineLevel="0" collapsed="false">
      <c r="A4" s="15" t="s">
        <v>74</v>
      </c>
      <c r="B4" s="12" t="n">
        <f aca="false">B2-B3</f>
        <v>336000</v>
      </c>
      <c r="C4" s="12" t="n">
        <f aca="false">C2-C3</f>
        <v>364000</v>
      </c>
      <c r="D4" s="12" t="n">
        <f aca="false">D2-D3</f>
        <v>427000</v>
      </c>
      <c r="E4" s="12" t="n">
        <f aca="false">E2-E3</f>
        <v>483000</v>
      </c>
      <c r="F4" s="12" t="n">
        <f aca="false">SUM(B4:E4)</f>
        <v>1610000</v>
      </c>
      <c r="G4" s="4" t="n">
        <f aca="false">IF(H4=0,"-",F4/H4-1)</f>
        <v>0.0952380952380953</v>
      </c>
      <c r="H4" s="12" t="n">
        <v>1470000</v>
      </c>
    </row>
    <row r="5" customFormat="false" ht="15" hidden="false" customHeight="false" outlineLevel="0" collapsed="false">
      <c r="A5" s="16" t="s">
        <v>75</v>
      </c>
      <c r="B5" s="14" t="n">
        <v>120000</v>
      </c>
      <c r="C5" s="14" t="n">
        <v>130000</v>
      </c>
      <c r="D5" s="14" t="n">
        <v>145000</v>
      </c>
      <c r="E5" s="14" t="n">
        <v>158000</v>
      </c>
      <c r="F5" s="14" t="n">
        <f aca="false">SUM(B5:E5)</f>
        <v>553000</v>
      </c>
      <c r="G5" s="7" t="n">
        <f aca="false">IF(H5=0,"-",F5/H5-1)</f>
        <v>0.128571428571429</v>
      </c>
      <c r="H5" s="14" t="n">
        <v>490000</v>
      </c>
    </row>
    <row r="6" customFormat="false" ht="15" hidden="false" customHeight="false" outlineLevel="0" collapsed="false">
      <c r="A6" s="15" t="s">
        <v>76</v>
      </c>
      <c r="B6" s="12" t="n">
        <f aca="false">B4-B5</f>
        <v>216000</v>
      </c>
      <c r="C6" s="12" t="n">
        <f aca="false">C4-C5</f>
        <v>234000</v>
      </c>
      <c r="D6" s="12" t="n">
        <f aca="false">D4-D5</f>
        <v>282000</v>
      </c>
      <c r="E6" s="12" t="n">
        <f aca="false">E4-E5</f>
        <v>325000</v>
      </c>
      <c r="F6" s="12" t="n">
        <f aca="false">SUM(B6:E6)</f>
        <v>1057000</v>
      </c>
      <c r="G6" s="4" t="n">
        <f aca="false">IF(H6=0,"-",F6/H6-1)</f>
        <v>0.0785714285714285</v>
      </c>
      <c r="H6" s="12" t="n">
        <v>980000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77</v>
      </c>
      <c r="B1" s="1" t="s">
        <v>78</v>
      </c>
      <c r="C1" s="1" t="s">
        <v>79</v>
      </c>
    </row>
    <row r="2" customFormat="false" ht="15" hidden="false" customHeight="false" outlineLevel="0" collapsed="false">
      <c r="A2" s="2" t="s">
        <v>80</v>
      </c>
      <c r="B2" s="2" t="s">
        <v>81</v>
      </c>
      <c r="C2" s="2" t="s">
        <v>82</v>
      </c>
    </row>
    <row r="3" customFormat="false" ht="15" hidden="false" customHeight="false" outlineLevel="0" collapsed="false">
      <c r="A3" s="5" t="s">
        <v>83</v>
      </c>
      <c r="B3" s="5" t="s">
        <v>84</v>
      </c>
      <c r="C3" s="5" t="s">
        <v>85</v>
      </c>
    </row>
    <row r="4" customFormat="false" ht="15" hidden="false" customHeight="false" outlineLevel="0" collapsed="false">
      <c r="A4" s="2" t="s">
        <v>86</v>
      </c>
      <c r="B4" s="2" t="s">
        <v>87</v>
      </c>
      <c r="C4" s="2" t="s">
        <v>88</v>
      </c>
    </row>
    <row r="5" customFormat="false" ht="15" hidden="false" customHeight="false" outlineLevel="0" collapsed="false">
      <c r="A5" s="5" t="s">
        <v>89</v>
      </c>
      <c r="B5" s="5" t="s">
        <v>90</v>
      </c>
      <c r="C5" s="5" t="s">
        <v>91</v>
      </c>
    </row>
    <row r="6" customFormat="false" ht="15" hidden="false" customHeight="false" outlineLevel="0" collapsed="false">
      <c r="A6" s="2" t="s">
        <v>92</v>
      </c>
      <c r="B6" s="2" t="s">
        <v>93</v>
      </c>
      <c r="C6" s="2" t="s">
        <v>94</v>
      </c>
    </row>
    <row r="7" customFormat="false" ht="15" hidden="false" customHeight="false" outlineLevel="0" collapsed="false">
      <c r="A7" s="5" t="s">
        <v>95</v>
      </c>
      <c r="B7" s="5" t="s">
        <v>96</v>
      </c>
      <c r="C7" s="5" t="s">
        <v>97</v>
      </c>
    </row>
    <row r="8" customFormat="false" ht="15" hidden="false" customHeight="false" outlineLevel="0" collapsed="false">
      <c r="A8" s="2" t="s">
        <v>98</v>
      </c>
      <c r="B8" s="2" t="s">
        <v>99</v>
      </c>
      <c r="C8" s="2" t="s">
        <v>100</v>
      </c>
    </row>
    <row r="9" customFormat="false" ht="15" hidden="false" customHeight="false" outlineLevel="0" collapsed="false">
      <c r="A9" s="5" t="s">
        <v>101</v>
      </c>
      <c r="B9" s="5" t="s">
        <v>102</v>
      </c>
      <c r="C9" s="5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2026-03-23T12:18:39Z</dcterms:created>
  <dc:creator>openpyxl</dc:creator>
  <dc:description/>
  <dc:language>en-US</dc:language>
  <cp:lastModifiedBy/>
  <dcterms:modified xsi:type="dcterms:W3CDTF">2026-03-23T12:18:39Z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